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0269\Downloads\demo\mediconnect-automation\src\test\resources\testdata\"/>
    </mc:Choice>
  </mc:AlternateContent>
  <xr:revisionPtr revIDLastSave="0" documentId="13_ncr:1_{7B4F03BB-B6C3-4B2C-8029-DEFAD413489A}" xr6:coauthVersionLast="47" xr6:coauthVersionMax="47" xr10:uidLastSave="{00000000-0000-0000-0000-000000000000}"/>
  <bookViews>
    <workbookView xWindow="-110" yWindow="-110" windowWidth="19420" windowHeight="11500" firstSheet="21" activeTab="23" xr2:uid="{20EC9760-B52E-4482-B97D-09277A4A575D}"/>
  </bookViews>
  <sheets>
    <sheet name="Logins" sheetId="1" r:id="rId1"/>
    <sheet name="PatientRegister" sheetId="2" r:id="rId2"/>
    <sheet name="Sheet11" sheetId="12" r:id="rId3"/>
    <sheet name="Sheet12" sheetId="13" r:id="rId4"/>
    <sheet name="AddPatient" sheetId="3" r:id="rId5"/>
    <sheet name="NewAppointment" sheetId="4" r:id="rId6"/>
    <sheet name="RequestLabTest" sheetId="5" r:id="rId7"/>
    <sheet name="NewRecord" sheetId="6" r:id="rId8"/>
    <sheet name="ScheduleSession" sheetId="7" r:id="rId9"/>
    <sheet name="AddItem" sheetId="8" r:id="rId10"/>
    <sheet name="AiAssistant" sheetId="9" r:id="rId11"/>
    <sheet name="DoctorRegister" sheetId="10" r:id="rId12"/>
    <sheet name="DoctorLogin" sheetId="11" r:id="rId13"/>
    <sheet name="Hospitals" sheetId="14" r:id="rId14"/>
    <sheet name="Appointments" sheetId="15" r:id="rId15"/>
    <sheet name="NewAppointments" sheetId="16" r:id="rId16"/>
    <sheet name="DiagnosticsSearch" sheetId="17" r:id="rId17"/>
    <sheet name="DiagnosticsStatus" sheetId="18" r:id="rId18"/>
    <sheet name="SupplyOrders" sheetId="19" r:id="rId19"/>
    <sheet name="TelemedicineSessions" sheetId="20" r:id="rId20"/>
    <sheet name="AnalyticsFilters" sheetId="21" r:id="rId21"/>
    <sheet name="PatientBookings" sheetId="22" r:id="rId22"/>
    <sheet name="LabReportAIQuestions" sheetId="23" r:id="rId23"/>
    <sheet name="AiAssistantInteractions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4" l="1"/>
  <c r="D3" i="14"/>
  <c r="D4" i="14"/>
</calcChain>
</file>

<file path=xl/sharedStrings.xml><?xml version="1.0" encoding="utf-8"?>
<sst xmlns="http://schemas.openxmlformats.org/spreadsheetml/2006/main" count="384" uniqueCount="252">
  <si>
    <t>testId</t>
  </si>
  <si>
    <t>email</t>
  </si>
  <si>
    <t>password</t>
  </si>
  <si>
    <t xml:space="preserve">TC004_doctor_valid  </t>
  </si>
  <si>
    <t xml:space="preserve">shifani@doctor.com   </t>
  </si>
  <si>
    <t>shifanidoctor@134</t>
  </si>
  <si>
    <t>TC006_invalid_format</t>
  </si>
  <si>
    <t xml:space="preserve">shifanidoctor  </t>
  </si>
  <si>
    <t>anything</t>
  </si>
  <si>
    <t xml:space="preserve">TC072_wrong_creds </t>
  </si>
  <si>
    <t xml:space="preserve"> wrong@user.com </t>
  </si>
  <si>
    <t>WrongPass123</t>
  </si>
  <si>
    <t>firstName</t>
  </si>
  <si>
    <t>phone</t>
  </si>
  <si>
    <t>dateOfBirth</t>
  </si>
  <si>
    <t>bloodGroup</t>
  </si>
  <si>
    <t>gender</t>
  </si>
  <si>
    <t>TP001_patient_register</t>
  </si>
  <si>
    <t>Auto</t>
  </si>
  <si>
    <t>Password@1</t>
  </si>
  <si>
    <t>Male</t>
  </si>
  <si>
    <t>O-</t>
  </si>
  <si>
    <t>lastName</t>
  </si>
  <si>
    <t xml:space="preserve">auto.patient.${UNIQUE}@test.com	</t>
  </si>
  <si>
    <t>Patient${UNIQUE}</t>
  </si>
  <si>
    <t>342005</t>
  </si>
  <si>
    <t>Samridhan</t>
  </si>
  <si>
    <t>TP002_patient_register</t>
  </si>
  <si>
    <t>TP003_patient_register</t>
  </si>
  <si>
    <t>TP004_patient_register</t>
  </si>
  <si>
    <t>Shifani</t>
  </si>
  <si>
    <t>Abhiram</t>
  </si>
  <si>
    <t>Chandrakanth</t>
  </si>
  <si>
    <t>Joseph${UNIQUE}</t>
  </si>
  <si>
    <t>Kapoor${UNIQUE}</t>
  </si>
  <si>
    <t>Iyer${UNIQUE}</t>
  </si>
  <si>
    <t>maya.sharma.${UNIQUE}@test.com</t>
  </si>
  <si>
    <t>rohan.kapoor.${UNIQUE}@test.com</t>
  </si>
  <si>
    <t>priya.iyer.${UNIQUE}@test.com</t>
  </si>
  <si>
    <t>O+</t>
  </si>
  <si>
    <t>A+</t>
  </si>
  <si>
    <t>AB+</t>
  </si>
  <si>
    <t>Female</t>
  </si>
  <si>
    <t>Maya@1234</t>
  </si>
  <si>
    <t>Rohan@5678</t>
  </si>
  <si>
    <t>Priya@9012</t>
  </si>
  <si>
    <t>age</t>
  </si>
  <si>
    <t>emergencyContact</t>
  </si>
  <si>
    <t>DPA001_add_patient</t>
  </si>
  <si>
    <t>auto_patient_${UNIQUE}@test.com</t>
  </si>
  <si>
    <t>Patient@1234</t>
  </si>
  <si>
    <t>Emergency - 8888888888</t>
  </si>
  <si>
    <t>patientSearchQuery</t>
  </si>
  <si>
    <t>date</t>
  </si>
  <si>
    <t>time</t>
  </si>
  <si>
    <t>type</t>
  </si>
  <si>
    <t>status</t>
  </si>
  <si>
    <t>DAP001_new_appointment</t>
  </si>
  <si>
    <t>a</t>
  </si>
  <si>
    <t>11:30AM</t>
  </si>
  <si>
    <t>In-person</t>
  </si>
  <si>
    <t>Pending</t>
  </si>
  <si>
    <t>testType</t>
  </si>
  <si>
    <t>priority</t>
  </si>
  <si>
    <t>requestedDate</t>
  </si>
  <si>
    <t>notes</t>
  </si>
  <si>
    <t>DLR001_request_test</t>
  </si>
  <si>
    <t>CBC</t>
  </si>
  <si>
    <t>Routine</t>
  </si>
  <si>
    <t>Automated test request — please ignore</t>
  </si>
  <si>
    <t>recordDate</t>
  </si>
  <si>
    <t>diagnosis</t>
  </si>
  <si>
    <t>treatment</t>
  </si>
  <si>
    <t>prescription</t>
  </si>
  <si>
    <t>clinicalNotes</t>
  </si>
  <si>
    <t>DMR001_new_record</t>
  </si>
  <si>
    <t>Automated test diagnosis - routine check</t>
  </si>
  <si>
    <t>Rest, hydration, follow-up in 7 days</t>
  </si>
  <si>
    <t>Paracetamol | 500mg | 1-0-1</t>
  </si>
  <si>
    <t>Created by Selenium automation suite</t>
  </si>
  <si>
    <t>duration</t>
  </si>
  <si>
    <t>reason</t>
  </si>
  <si>
    <t>DTM001_schedule_session</t>
  </si>
  <si>
    <t>Automated test - follow up consultation</t>
  </si>
  <si>
    <t>itemName</t>
  </si>
  <si>
    <t>category</t>
  </si>
  <si>
    <t>quantity</t>
  </si>
  <si>
    <t>reorderLevel</t>
  </si>
  <si>
    <t>DSC001_add_item</t>
  </si>
  <si>
    <t>Paracetamol ${UNIQUE}</t>
  </si>
  <si>
    <t>Medication</t>
  </si>
  <si>
    <t>question</t>
  </si>
  <si>
    <t>DAI001_normal_range</t>
  </si>
  <si>
    <t>What is the normal range for HbA1c?</t>
  </si>
  <si>
    <t>DAI002_drug_dose</t>
  </si>
  <si>
    <t>Common side effects of Lisinopril</t>
  </si>
  <si>
    <t>DAI003_lab_interpret</t>
  </si>
  <si>
    <t>How to interpret a BNP result?</t>
  </si>
  <si>
    <t>specialization</t>
  </si>
  <si>
    <t>hospital</t>
  </si>
  <si>
    <t>TD001_doctor_register</t>
  </si>
  <si>
    <t>Doctor${UNIQUE}</t>
  </si>
  <si>
    <t>auto.doctor.${UNIQUE}@test.com</t>
  </si>
  <si>
    <t>Cardiology</t>
  </si>
  <si>
    <t>Test Hospital</t>
  </si>
  <si>
    <t>TC_DOC_LOGIN_VALID</t>
  </si>
  <si>
    <t>arun.kumar@cgh.com</t>
  </si>
  <si>
    <t>MediConnect@123</t>
  </si>
  <si>
    <t>name</t>
  </si>
  <si>
    <t>city</t>
  </si>
  <si>
    <t>address</t>
  </si>
  <si>
    <t>totalBeds</t>
  </si>
  <si>
    <t>availableBeds</t>
  </si>
  <si>
    <t>TH001_add_chennai</t>
  </si>
  <si>
    <t>MGM Hospital ${UNIQUE}</t>
  </si>
  <si>
    <t>Chennai</t>
  </si>
  <si>
    <t>123 Test Street</t>
  </si>
  <si>
    <t>TH002_add_mumbai</t>
  </si>
  <si>
    <t>Mumbai Care ${UNIQUE}</t>
  </si>
  <si>
    <t>Mumbai</t>
  </si>
  <si>
    <t>45 Marine Drive</t>
  </si>
  <si>
    <t>TH003_add_delhi</t>
  </si>
  <si>
    <t>Delhi Health ${UNIQUE}</t>
  </si>
  <si>
    <t>Delhi</t>
  </si>
  <si>
    <t>200 Connaught Place</t>
  </si>
  <si>
    <t>doctor</t>
  </si>
  <si>
    <t>TA001_arun_city_jun01</t>
  </si>
  <si>
    <t>Dr. Arun Kumar</t>
  </si>
  <si>
    <t>City General Hospital</t>
  </si>
  <si>
    <t>TA002_meena_apollo_jun15</t>
  </si>
  <si>
    <t>Dr. Meena Reddy</t>
  </si>
  <si>
    <t>Apollo Medical Centre</t>
  </si>
  <si>
    <t>TA003_vikram_medicare_jul01</t>
  </si>
  <si>
    <t>Dr. Vikram Singh</t>
  </si>
  <si>
    <t>MediCare Specialty Hospital</t>
  </si>
  <si>
    <t>TA004_priya_city_aug20</t>
  </si>
  <si>
    <t>Dr. Priya Sharma</t>
  </si>
  <si>
    <t>TA005_lakshmi_apollo_sep10</t>
  </si>
  <si>
    <t>Dr. Lakshmi Nair</t>
  </si>
  <si>
    <t>patient</t>
  </si>
  <si>
    <t>TN001_rajesh_arun_city</t>
  </si>
  <si>
    <t>PT-0001 — Rajesh Sharma</t>
  </si>
  <si>
    <t>Dr. Arun Kumar — Cardiology</t>
  </si>
  <si>
    <t>Routine checkup</t>
  </si>
  <si>
    <t>TN002_sneha_meena_apollo</t>
  </si>
  <si>
    <t>PT-0002 — Sneha Patel</t>
  </si>
  <si>
    <t>Dr. Meena Reddy — Neurology</t>
  </si>
  <si>
    <t>Post-op review</t>
  </si>
  <si>
    <t>TN003_karan_vikram_medicare</t>
  </si>
  <si>
    <t>PT-0007 — Karan Malhotra</t>
  </si>
  <si>
    <t>Dr. Vikram Singh — Orthopedics</t>
  </si>
  <si>
    <t>First visit</t>
  </si>
  <si>
    <t>query</t>
  </si>
  <si>
    <t>expectedResult</t>
  </si>
  <si>
    <t>TD001_search_rajesh</t>
  </si>
  <si>
    <t>Rajesh</t>
  </si>
  <si>
    <t>match</t>
  </si>
  <si>
    <t>TD002_search_sneha</t>
  </si>
  <si>
    <t>Sneha</t>
  </si>
  <si>
    <t>TD003_search_mohan</t>
  </si>
  <si>
    <t>Mohan</t>
  </si>
  <si>
    <t>TD004_search_test_name</t>
  </si>
  <si>
    <t>TD005_search_no_match</t>
  </si>
  <si>
    <t>ZZZNoSuchPatient</t>
  </si>
  <si>
    <t>noMatch</t>
  </si>
  <si>
    <t>TS001_status_all</t>
  </si>
  <si>
    <t>All status</t>
  </si>
  <si>
    <t>TS002_status_pending</t>
  </si>
  <si>
    <t>TS003_status_ready</t>
  </si>
  <si>
    <t>Ready</t>
  </si>
  <si>
    <t>TS004_status_abnormal</t>
  </si>
  <si>
    <t>Abnormal</t>
  </si>
  <si>
    <t>TO001_paracetamol_city</t>
  </si>
  <si>
    <t>Paracetamol 500mg</t>
  </si>
  <si>
    <t>Analgesic</t>
  </si>
  <si>
    <t>Routine stock replenishment</t>
  </si>
  <si>
    <t>TO002_aspirin_apollo</t>
  </si>
  <si>
    <t>Aspirin 75mg</t>
  </si>
  <si>
    <t>Cardiac</t>
  </si>
  <si>
    <t>Cardiac ward stock</t>
  </si>
  <si>
    <t>TO003_metformin_medicare</t>
  </si>
  <si>
    <t>Metformin 500mg</t>
  </si>
  <si>
    <t>Diabetes</t>
  </si>
  <si>
    <t>Monthly refill</t>
  </si>
  <si>
    <t>sessionType</t>
  </si>
  <si>
    <t>TVS001_arun_rajesh</t>
  </si>
  <si>
    <t>Rajesh Sharma</t>
  </si>
  <si>
    <t>Consultation</t>
  </si>
  <si>
    <t>Initial video consult</t>
  </si>
  <si>
    <t>TVS002_meena_sneha</t>
  </si>
  <si>
    <t>Sneha Patel</t>
  </si>
  <si>
    <t>Follow-up review</t>
  </si>
  <si>
    <t>TVS003_vikram_mohan</t>
  </si>
  <si>
    <t>Mohan Das</t>
  </si>
  <si>
    <t>department</t>
  </si>
  <si>
    <t>period</t>
  </si>
  <si>
    <t>TF001_all_all_7d</t>
  </si>
  <si>
    <t>All Hospitals</t>
  </si>
  <si>
    <t>All Departments</t>
  </si>
  <si>
    <t>Last 7 Days</t>
  </si>
  <si>
    <t>TF002_city_cardio_30d</t>
  </si>
  <si>
    <t>Last 30 Days</t>
  </si>
  <si>
    <t>TF003_apollo_peds_90d</t>
  </si>
  <si>
    <t>Pediatrics</t>
  </si>
  <si>
    <t>Last 90 Days</t>
  </si>
  <si>
    <t>TF004_medicare_neuro_year</t>
  </si>
  <si>
    <t>Neurology</t>
  </si>
  <si>
    <t>Last Year</t>
  </si>
  <si>
    <t>TF005_all_ortho_30d</t>
  </si>
  <si>
    <t>Orthopedics</t>
  </si>
  <si>
    <t>TBA001_arun_inperson</t>
  </si>
  <si>
    <t>Cardiology follow-up</t>
  </si>
  <si>
    <t>TBA002_meena_video</t>
  </si>
  <si>
    <t>Video</t>
  </si>
  <si>
    <t>Neurology consultation</t>
  </si>
  <si>
    <t>TBA003_vikram_inperson</t>
  </si>
  <si>
    <t>Knee pain checkup</t>
  </si>
  <si>
    <t>mode</t>
  </si>
  <si>
    <t>TQ001_chip_ldl</t>
  </si>
  <si>
    <t>What is LDL cholesterol?</t>
  </si>
  <si>
    <t>chip</t>
  </si>
  <si>
    <t>TQ002_chip_lower_ldl</t>
  </si>
  <si>
    <t>How to lower LDL naturally?</t>
  </si>
  <si>
    <t>TQ003_chip_statins</t>
  </si>
  <si>
    <t>What are statins?</t>
  </si>
  <si>
    <t>TQ004_chip_ecg</t>
  </si>
  <si>
    <t>Is my ECG result good?</t>
  </si>
  <si>
    <t>TQ005_type_hdl</t>
  </si>
  <si>
    <t>What does HDL mean?</t>
  </si>
  <si>
    <t>TQ006_type_blood_test</t>
  </si>
  <si>
    <t>Explain my blood test results</t>
  </si>
  <si>
    <t>action</t>
  </si>
  <si>
    <t>text</t>
  </si>
  <si>
    <t>TAH001_chip_lipid</t>
  </si>
  <si>
    <t>General Chat</t>
  </si>
  <si>
    <t>Explain my lipid panel results</t>
  </si>
  <si>
    <t>TAH002_chip_ldl</t>
  </si>
  <si>
    <t>What does elevated LDL mean?</t>
  </si>
  <si>
    <t>TAH003_type_cholesterol</t>
  </si>
  <si>
    <t>What are normal cholesterol levels?</t>
  </si>
  <si>
    <t>TAH004_type_symptoms</t>
  </si>
  <si>
    <t>Symptom Checker</t>
  </si>
  <si>
    <t>I have a headache and fever for 2 days</t>
  </si>
  <si>
    <t>TAH005_quick_symptom</t>
  </si>
  <si>
    <t>quickAction</t>
  </si>
  <si>
    <t>TAH006_quick_lab</t>
  </si>
  <si>
    <t>Explain My Lab Report</t>
  </si>
  <si>
    <t>TAH007_common_bp</t>
  </si>
  <si>
    <t>commonQuestion</t>
  </si>
  <si>
    <t>What does my blood pressure reading mean?</t>
  </si>
  <si>
    <t>TAH008_common_diabetes</t>
  </si>
  <si>
    <t>How can I manage my diabetes better?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</si>
</sst>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9.9"/>
      <color rgb="FFD0D0D0"/>
      <name val="Courier New"/>
      <family val="3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CCCCCC"/>
      <name val="Segoe UI"/>
      <family val="2"/>
    </font>
    <font>
      <sz val="11"/>
      <color theme="1"/>
      <name val="Times New Roman"/>
      <family val="1"/>
    </font>
    <font>
      <b/>
      <sz val="7"/>
      <color rgb="FFCCCCCC"/>
      <name val="Times New Roman"/>
      <family val="1"/>
    </font>
    <font>
      <b/>
      <sz val="11"/>
      <color theme="1"/>
      <name val="Times New Roman"/>
      <family val="1"/>
    </font>
    <font>
      <sz val="11"/>
      <name val="Aptos Narrow"/>
      <scheme val="minor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0" fillId="2" borderId="0" xfId="0" applyFill="1"/>
    <xf numFmtId="0" fontId="4" fillId="3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49" fontId="0" fillId="0" borderId="0" xfId="0" applyNumberFormat="1"/>
    <xf numFmtId="49" fontId="5" fillId="0" borderId="0" xfId="0" applyNumberFormat="1" applyFont="1"/>
    <xf numFmtId="49" fontId="2" fillId="0" borderId="0" xfId="1" applyNumberFormat="1"/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0" fontId="8" fillId="0" borderId="0" xfId="0" applyFont="1"/>
    <xf numFmtId="0" fontId="9" fillId="0" borderId="0" xfId="0" applyFont="1"/>
    <xf numFmtId="14" fontId="9" fillId="0" borderId="0" xfId="0" applyNumberFormat="1" applyFont="1"/>
    <xf numFmtId="20" fontId="9" fillId="0" borderId="0" xfId="0" applyNumberFormat="1" applyFont="1"/>
    <xf numFmtId="0" fontId="0" fillId="0" borderId="0" xfId="0" applyAlignment="1">
      <alignment vertical="center" wrapText="1"/>
    </xf>
    <xf numFmtId="0" fontId="10" fillId="0" borderId="0" xfId="0" applyFont="1"/>
    <xf numFmtId="14" fontId="10" fillId="0" borderId="0" xfId="0" applyNumberFormat="1" applyFont="1"/>
    <xf numFmtId="18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769FBC-BD89-43D8-A400-19EA5317165F}">
  <we:reference id="29673e3c-d826-4f00-92ee-162334a52b1a" version="1.0.0.8" store="EXCatalog" storeType="EXCatalog"/>
  <we:alternateReferences>
    <we:reference id="WA200009404" version="1.0.0.8" store="en-IN" storeType="OMEX"/>
  </we:alternateReferences>
  <we:properties>
    <we:property name="claude.fileId" value="&quot;eff5b941-b3ba-4721-a211-c86d3c9126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fanidoctor@134" TargetMode="External"/><Relationship Id="rId1" Type="http://schemas.openxmlformats.org/officeDocument/2006/relationships/hyperlink" Target="mailto:shifani@doctor.com%20%20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uto.patient.$%7bUNIQUE%7d@test.com%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4D77-1ECE-4918-B525-A4A3B7823F86}">
  <dimension ref="A1:C4"/>
  <sheetViews>
    <sheetView workbookViewId="0">
      <selection activeCell="A4" sqref="A4"/>
    </sheetView>
  </sheetViews>
  <sheetFormatPr defaultRowHeight="14.5"/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</sheetData>
  <hyperlinks>
    <hyperlink ref="B2" r:id="rId1" xr:uid="{F9B04F18-6F0A-460D-9D4C-E1FDC5FAD4B4}"/>
    <hyperlink ref="C2" r:id="rId2" xr:uid="{E9C53956-D335-4749-B73D-E9AE9ADA77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47E1-8265-48F6-A84D-52EAF56CC962}">
  <dimension ref="A1:I5"/>
  <sheetViews>
    <sheetView workbookViewId="0">
      <selection activeCell="I11" sqref="I11"/>
    </sheetView>
  </sheetViews>
  <sheetFormatPr defaultRowHeight="14.5"/>
  <cols>
    <col min="1" max="1" width="19.54296875" bestFit="1" customWidth="1"/>
    <col min="2" max="2" width="6.1796875" bestFit="1" customWidth="1"/>
    <col min="3" max="3" width="9.1796875" bestFit="1" customWidth="1"/>
    <col min="4" max="4" width="11.26953125" bestFit="1" customWidth="1"/>
    <col min="5" max="5" width="10.81640625" bestFit="1" customWidth="1"/>
    <col min="6" max="7" width="11.08984375" bestFit="1" customWidth="1"/>
    <col min="8" max="8" width="6.6328125" bestFit="1" customWidth="1"/>
    <col min="9" max="9" width="11.26953125" bestFit="1" customWidth="1"/>
  </cols>
  <sheetData>
    <row r="1" spans="1:9" s="5" customFormat="1" ht="14">
      <c r="A1" s="6" t="s">
        <v>0</v>
      </c>
      <c r="B1" s="6" t="s">
        <v>12</v>
      </c>
      <c r="C1" s="6" t="s">
        <v>22</v>
      </c>
      <c r="D1" s="6" t="s">
        <v>1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2</v>
      </c>
    </row>
    <row r="2" spans="1:9">
      <c r="A2" t="s">
        <v>17</v>
      </c>
      <c r="B2" t="s">
        <v>26</v>
      </c>
      <c r="C2" t="s">
        <v>24</v>
      </c>
      <c r="D2" s="10" t="s">
        <v>23</v>
      </c>
      <c r="E2" s="9">
        <v>9876543210</v>
      </c>
      <c r="F2" s="8" t="s">
        <v>25</v>
      </c>
      <c r="G2" s="8" t="s">
        <v>21</v>
      </c>
      <c r="H2" s="8" t="s">
        <v>20</v>
      </c>
      <c r="I2" s="8" t="s">
        <v>19</v>
      </c>
    </row>
    <row r="3" spans="1:9">
      <c r="A3" t="s">
        <v>27</v>
      </c>
      <c r="B3" t="s">
        <v>30</v>
      </c>
      <c r="C3" t="s">
        <v>33</v>
      </c>
      <c r="D3" s="11" t="s">
        <v>36</v>
      </c>
      <c r="E3" s="11">
        <v>9123456701</v>
      </c>
      <c r="F3" s="12">
        <v>3121988</v>
      </c>
      <c r="G3" s="11" t="s">
        <v>39</v>
      </c>
      <c r="H3" s="11" t="s">
        <v>20</v>
      </c>
      <c r="I3" s="11" t="s">
        <v>43</v>
      </c>
    </row>
    <row r="4" spans="1:9">
      <c r="A4" t="s">
        <v>28</v>
      </c>
      <c r="B4" t="s">
        <v>31</v>
      </c>
      <c r="C4" t="s">
        <v>34</v>
      </c>
      <c r="D4" s="11" t="s">
        <v>37</v>
      </c>
      <c r="E4" s="4">
        <v>9123456702</v>
      </c>
      <c r="F4" s="12">
        <v>3121988</v>
      </c>
      <c r="G4" s="4" t="s">
        <v>40</v>
      </c>
      <c r="H4" t="s">
        <v>42</v>
      </c>
      <c r="I4" s="4" t="s">
        <v>44</v>
      </c>
    </row>
    <row r="5" spans="1:9">
      <c r="A5" t="s">
        <v>29</v>
      </c>
      <c r="B5" t="s">
        <v>32</v>
      </c>
      <c r="C5" s="11" t="s">
        <v>35</v>
      </c>
      <c r="D5" s="11" t="s">
        <v>38</v>
      </c>
      <c r="E5" s="4">
        <v>9123456702</v>
      </c>
      <c r="F5" s="12">
        <v>3121988</v>
      </c>
      <c r="G5" s="4" t="s">
        <v>41</v>
      </c>
      <c r="H5" t="s">
        <v>42</v>
      </c>
      <c r="I5" s="11" t="s">
        <v>45</v>
      </c>
    </row>
  </sheetData>
  <hyperlinks>
    <hyperlink ref="D2" r:id="rId1" xr:uid="{FC151F78-10B2-4227-BD4C-F0470DA3A6E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05DF-B2CD-4966-8822-D6A569054FA0}">
  <dimension ref="A1"/>
  <sheetViews>
    <sheetView topLeftCell="S1"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01AC-69AA-41EC-AB9D-2C17A8F19EE9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65E8-DE7E-42A4-B37E-94981247A45D}">
  <dimension ref="A1:K2"/>
  <sheetViews>
    <sheetView topLeftCell="B1" workbookViewId="0"/>
  </sheetViews>
  <sheetFormatPr defaultRowHeight="14.5"/>
  <cols>
    <col min="1" max="1" width="17.81640625" bestFit="1" customWidth="1"/>
    <col min="2" max="2" width="9.08984375" bestFit="1" customWidth="1"/>
    <col min="3" max="3" width="15.453125" bestFit="1" customWidth="1"/>
    <col min="4" max="4" width="29.90625" bestFit="1" customWidth="1"/>
    <col min="5" max="5" width="10.81640625" bestFit="1" customWidth="1"/>
    <col min="6" max="6" width="12.26953125" bestFit="1" customWidth="1"/>
    <col min="7" max="7" width="3.7265625" bestFit="1" customWidth="1"/>
    <col min="8" max="8" width="10.453125" bestFit="1" customWidth="1"/>
    <col min="9" max="9" width="6.54296875" bestFit="1" customWidth="1"/>
    <col min="10" max="10" width="10.6328125" bestFit="1" customWidth="1"/>
    <col min="11" max="11" width="21.36328125" bestFit="1" customWidth="1"/>
  </cols>
  <sheetData>
    <row r="1" spans="1:11">
      <c r="A1" s="13" t="s">
        <v>0</v>
      </c>
      <c r="B1" s="13" t="s">
        <v>12</v>
      </c>
      <c r="C1" s="13" t="s">
        <v>22</v>
      </c>
      <c r="D1" s="13" t="s">
        <v>1</v>
      </c>
      <c r="E1" s="13" t="s">
        <v>13</v>
      </c>
      <c r="F1" s="13" t="s">
        <v>2</v>
      </c>
      <c r="G1" s="13" t="s">
        <v>46</v>
      </c>
      <c r="H1" s="13" t="s">
        <v>14</v>
      </c>
      <c r="I1" s="13" t="s">
        <v>16</v>
      </c>
      <c r="J1" s="13" t="s">
        <v>15</v>
      </c>
      <c r="K1" s="13" t="s">
        <v>47</v>
      </c>
    </row>
    <row r="2" spans="1:11">
      <c r="A2" t="s">
        <v>48</v>
      </c>
      <c r="B2" t="s">
        <v>18</v>
      </c>
      <c r="C2" t="s">
        <v>24</v>
      </c>
      <c r="D2" t="s">
        <v>49</v>
      </c>
      <c r="E2" s="8">
        <v>9999999999</v>
      </c>
      <c r="F2" s="8" t="s">
        <v>50</v>
      </c>
      <c r="G2">
        <v>30</v>
      </c>
      <c r="H2" s="8">
        <v>34700</v>
      </c>
      <c r="I2" t="s">
        <v>20</v>
      </c>
      <c r="J2" s="8" t="s">
        <v>39</v>
      </c>
      <c r="K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7F55-1345-4108-923B-0A41576493AB}">
  <dimension ref="A1:F2"/>
  <sheetViews>
    <sheetView workbookViewId="0"/>
  </sheetViews>
  <sheetFormatPr defaultRowHeight="14.5"/>
  <cols>
    <col min="1" max="1" width="22.7265625" bestFit="1" customWidth="1"/>
    <col min="2" max="2" width="17.7265625" bestFit="1" customWidth="1"/>
    <col min="3" max="3" width="5.81640625" bestFit="1" customWidth="1"/>
    <col min="4" max="4" width="7.90625" bestFit="1" customWidth="1"/>
    <col min="5" max="5" width="8.453125" bestFit="1" customWidth="1"/>
    <col min="6" max="6" width="7.26953125" bestFit="1" customWidth="1"/>
  </cols>
  <sheetData>
    <row r="1" spans="1:6">
      <c r="A1" s="13" t="s">
        <v>0</v>
      </c>
      <c r="B1" s="13" t="s">
        <v>52</v>
      </c>
      <c r="C1" s="13" t="s">
        <v>53</v>
      </c>
      <c r="D1" s="13" t="s">
        <v>54</v>
      </c>
      <c r="E1" s="13" t="s">
        <v>55</v>
      </c>
      <c r="F1" s="13" t="s">
        <v>56</v>
      </c>
    </row>
    <row r="2" spans="1:6">
      <c r="A2" t="s">
        <v>57</v>
      </c>
      <c r="B2" s="8" t="s">
        <v>58</v>
      </c>
      <c r="C2" s="8">
        <v>46188</v>
      </c>
      <c r="D2" s="8" t="s">
        <v>59</v>
      </c>
      <c r="E2" s="8" t="s">
        <v>60</v>
      </c>
      <c r="F2" s="8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C8C5-C73D-486C-8F51-3D510C42F653}">
  <dimension ref="A1:F2"/>
  <sheetViews>
    <sheetView workbookViewId="0"/>
  </sheetViews>
  <sheetFormatPr defaultRowHeight="14.5"/>
  <cols>
    <col min="1" max="1" width="18.26953125" bestFit="1" customWidth="1"/>
    <col min="2" max="2" width="17.7265625" bestFit="1" customWidth="1"/>
    <col min="3" max="3" width="7.90625" bestFit="1" customWidth="1"/>
    <col min="4" max="4" width="7" bestFit="1" customWidth="1"/>
    <col min="5" max="5" width="13.26953125" bestFit="1" customWidth="1"/>
    <col min="6" max="6" width="33.453125" bestFit="1" customWidth="1"/>
  </cols>
  <sheetData>
    <row r="1" spans="1:6">
      <c r="A1" s="13" t="s">
        <v>0</v>
      </c>
      <c r="B1" s="13" t="s">
        <v>52</v>
      </c>
      <c r="C1" s="13" t="s">
        <v>62</v>
      </c>
      <c r="D1" s="13" t="s">
        <v>63</v>
      </c>
      <c r="E1" s="13" t="s">
        <v>64</v>
      </c>
      <c r="F1" s="13" t="s">
        <v>65</v>
      </c>
    </row>
    <row r="2" spans="1:6">
      <c r="A2" t="s">
        <v>66</v>
      </c>
      <c r="B2" s="8" t="s">
        <v>58</v>
      </c>
      <c r="C2" t="s">
        <v>67</v>
      </c>
      <c r="D2" t="s">
        <v>68</v>
      </c>
      <c r="E2" s="8">
        <v>46188</v>
      </c>
      <c r="F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C5E4-BDFE-4DC7-B957-884FFA341B3B}">
  <dimension ref="A1:G2"/>
  <sheetViews>
    <sheetView topLeftCell="B1" workbookViewId="0">
      <selection activeCell="F12" sqref="F12"/>
    </sheetView>
  </sheetViews>
  <sheetFormatPr defaultRowHeight="14.5"/>
  <cols>
    <col min="1" max="1" width="18" bestFit="1" customWidth="1"/>
    <col min="2" max="2" width="17.7265625" bestFit="1" customWidth="1"/>
    <col min="3" max="3" width="10.08984375" bestFit="1" customWidth="1"/>
    <col min="4" max="4" width="34.1796875" bestFit="1" customWidth="1"/>
    <col min="5" max="5" width="28.81640625" bestFit="1" customWidth="1"/>
    <col min="6" max="6" width="24.453125" bestFit="1" customWidth="1"/>
    <col min="7" max="7" width="31.81640625" bestFit="1" customWidth="1"/>
  </cols>
  <sheetData>
    <row r="1" spans="1:7">
      <c r="A1" s="13" t="s">
        <v>0</v>
      </c>
      <c r="B1" s="13" t="s">
        <v>52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</row>
    <row r="2" spans="1:7">
      <c r="A2" t="s">
        <v>75</v>
      </c>
      <c r="B2" s="8" t="s">
        <v>58</v>
      </c>
      <c r="C2" s="8">
        <v>46188</v>
      </c>
      <c r="D2" t="s">
        <v>76</v>
      </c>
      <c r="E2" t="s">
        <v>77</v>
      </c>
      <c r="F2" t="s">
        <v>78</v>
      </c>
      <c r="G2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8940-03EA-43D5-AB8A-F1428AB480A3}">
  <dimension ref="A1:G2"/>
  <sheetViews>
    <sheetView workbookViewId="0">
      <selection activeCell="F11" sqref="F11"/>
    </sheetView>
  </sheetViews>
  <sheetFormatPr defaultRowHeight="14.5"/>
  <cols>
    <col min="1" max="1" width="22.90625" bestFit="1" customWidth="1"/>
    <col min="2" max="2" width="17.7265625" bestFit="1" customWidth="1"/>
    <col min="3" max="3" width="5.81640625" bestFit="1" customWidth="1"/>
    <col min="4" max="5" width="7.90625" bestFit="1" customWidth="1"/>
    <col min="6" max="6" width="32.6328125" bestFit="1" customWidth="1"/>
    <col min="7" max="7" width="31.81640625" bestFit="1" customWidth="1"/>
  </cols>
  <sheetData>
    <row r="1" spans="1:7">
      <c r="A1" s="13" t="s">
        <v>0</v>
      </c>
      <c r="B1" s="13" t="s">
        <v>52</v>
      </c>
      <c r="C1" s="13" t="s">
        <v>53</v>
      </c>
      <c r="D1" s="13" t="s">
        <v>54</v>
      </c>
      <c r="E1" s="13" t="s">
        <v>80</v>
      </c>
      <c r="F1" s="13" t="s">
        <v>81</v>
      </c>
      <c r="G1" s="13" t="s">
        <v>65</v>
      </c>
    </row>
    <row r="2" spans="1:7">
      <c r="A2" t="s">
        <v>82</v>
      </c>
      <c r="B2" s="8" t="s">
        <v>58</v>
      </c>
      <c r="C2" s="8">
        <v>46188</v>
      </c>
      <c r="D2" s="8" t="s">
        <v>59</v>
      </c>
      <c r="E2">
        <v>30</v>
      </c>
      <c r="F2" s="8" t="s">
        <v>83</v>
      </c>
      <c r="G2" s="8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907D-C1D4-4085-BA57-C8F8A8DB6768}">
  <dimension ref="A1:E2"/>
  <sheetViews>
    <sheetView workbookViewId="0">
      <selection activeCell="E9" sqref="E9"/>
    </sheetView>
  </sheetViews>
  <sheetFormatPr defaultRowHeight="14.5"/>
  <cols>
    <col min="1" max="1" width="15.7265625" bestFit="1" customWidth="1"/>
    <col min="2" max="2" width="20.453125" bestFit="1" customWidth="1"/>
    <col min="3" max="3" width="9.81640625" bestFit="1" customWidth="1"/>
    <col min="4" max="4" width="7.81640625" bestFit="1" customWidth="1"/>
    <col min="5" max="5" width="11.1796875" bestFit="1" customWidth="1"/>
  </cols>
  <sheetData>
    <row r="1" spans="1:5">
      <c r="A1" s="13" t="s">
        <v>0</v>
      </c>
      <c r="B1" s="13" t="s">
        <v>84</v>
      </c>
      <c r="C1" s="13" t="s">
        <v>85</v>
      </c>
      <c r="D1" s="13" t="s">
        <v>86</v>
      </c>
      <c r="E1" s="13" t="s">
        <v>87</v>
      </c>
    </row>
    <row r="2" spans="1:5">
      <c r="A2" t="s">
        <v>88</v>
      </c>
      <c r="B2" t="s">
        <v>89</v>
      </c>
      <c r="C2" t="s">
        <v>90</v>
      </c>
      <c r="D2">
        <v>100</v>
      </c>
      <c r="E2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6E31-8F32-4B15-972B-7124E1050FED}">
  <dimension ref="A1:B4"/>
  <sheetViews>
    <sheetView workbookViewId="0">
      <selection activeCell="C8" sqref="C8"/>
    </sheetView>
  </sheetViews>
  <sheetFormatPr defaultRowHeight="14.5"/>
  <cols>
    <col min="1" max="1" width="18.6328125" bestFit="1" customWidth="1"/>
    <col min="2" max="2" width="30.36328125" bestFit="1" customWidth="1"/>
  </cols>
  <sheetData>
    <row r="1" spans="1:2">
      <c r="A1" s="13" t="s">
        <v>0</v>
      </c>
      <c r="B1" s="13" t="s">
        <v>91</v>
      </c>
    </row>
    <row r="2" spans="1:2">
      <c r="A2" t="s">
        <v>92</v>
      </c>
      <c r="B2" t="s">
        <v>93</v>
      </c>
    </row>
    <row r="3" spans="1:2">
      <c r="A3" t="s">
        <v>94</v>
      </c>
      <c r="B3" t="s">
        <v>95</v>
      </c>
    </row>
    <row r="4" spans="1:2">
      <c r="A4" t="s">
        <v>96</v>
      </c>
      <c r="B4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5164-B4A9-4967-BE68-FEBD691217EB}">
  <dimension ref="A1:H2"/>
  <sheetViews>
    <sheetView workbookViewId="0">
      <selection activeCell="D14" sqref="D14"/>
    </sheetView>
  </sheetViews>
  <sheetFormatPr defaultRowHeight="14.5"/>
  <cols>
    <col min="1" max="1" width="19.26953125" bestFit="1" customWidth="1"/>
    <col min="2" max="2" width="9.08984375" bestFit="1" customWidth="1"/>
    <col min="3" max="3" width="15.1796875" bestFit="1" customWidth="1"/>
    <col min="4" max="4" width="28.81640625" bestFit="1" customWidth="1"/>
    <col min="5" max="5" width="10.81640625" bestFit="1" customWidth="1"/>
    <col min="6" max="6" width="12.54296875" bestFit="1" customWidth="1"/>
    <col min="7" max="7" width="11.36328125" bestFit="1" customWidth="1"/>
    <col min="8" max="8" width="11.26953125" bestFit="1" customWidth="1"/>
  </cols>
  <sheetData>
    <row r="1" spans="1:8">
      <c r="A1" s="13" t="s">
        <v>0</v>
      </c>
      <c r="B1" s="13" t="s">
        <v>12</v>
      </c>
      <c r="C1" s="13" t="s">
        <v>22</v>
      </c>
      <c r="D1" s="13" t="s">
        <v>1</v>
      </c>
      <c r="E1" s="13" t="s">
        <v>13</v>
      </c>
      <c r="F1" s="13" t="s">
        <v>98</v>
      </c>
      <c r="G1" s="13" t="s">
        <v>99</v>
      </c>
      <c r="H1" s="13" t="s">
        <v>2</v>
      </c>
    </row>
    <row r="2" spans="1:8">
      <c r="A2" t="s">
        <v>100</v>
      </c>
      <c r="B2" t="s">
        <v>18</v>
      </c>
      <c r="C2" t="s">
        <v>101</v>
      </c>
      <c r="D2" t="s">
        <v>102</v>
      </c>
      <c r="E2" s="8">
        <v>9876543210</v>
      </c>
      <c r="F2" t="s">
        <v>103</v>
      </c>
      <c r="G2" t="s">
        <v>104</v>
      </c>
      <c r="H2" s="8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C387-7ADE-42F2-AD04-E9AC427B8F77}">
  <dimension ref="A1:C2"/>
  <sheetViews>
    <sheetView workbookViewId="0">
      <selection activeCell="F8" sqref="F8"/>
    </sheetView>
  </sheetViews>
  <sheetFormatPr defaultRowHeight="14.5"/>
  <cols>
    <col min="1" max="1" width="19.6328125" bestFit="1" customWidth="1"/>
    <col min="2" max="2" width="18.90625" bestFit="1" customWidth="1"/>
    <col min="3" max="3" width="16.36328125" bestFit="1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t="s">
        <v>105</v>
      </c>
      <c r="B2" t="s">
        <v>106</v>
      </c>
      <c r="C2" s="8" t="s">
        <v>107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F2B1-79B1-42BF-A505-7F79E2849B0D}">
  <dimension ref="A1:G4"/>
  <sheetViews>
    <sheetView workbookViewId="0">
      <selection activeCell="G6" sqref="G6"/>
    </sheetView>
  </sheetViews>
  <sheetFormatPr defaultRowHeight="14.5"/>
  <sheetData>
    <row r="1" spans="1:7">
      <c r="A1" s="14" t="s">
        <v>0</v>
      </c>
      <c r="B1" s="14" t="s">
        <v>108</v>
      </c>
      <c r="C1" s="14" t="s">
        <v>109</v>
      </c>
      <c r="D1" s="14" t="s">
        <v>13</v>
      </c>
      <c r="E1" s="14" t="s">
        <v>110</v>
      </c>
      <c r="F1" s="14" t="s">
        <v>111</v>
      </c>
      <c r="G1" s="14" t="s">
        <v>112</v>
      </c>
    </row>
    <row r="2" spans="1:7">
      <c r="A2" s="14" t="s">
        <v>113</v>
      </c>
      <c r="B2" s="14" t="s">
        <v>114</v>
      </c>
      <c r="C2" s="14" t="s">
        <v>115</v>
      </c>
      <c r="D2" s="14">
        <f>91-44-28293333</f>
        <v>-28293286</v>
      </c>
      <c r="E2" s="14" t="s">
        <v>116</v>
      </c>
      <c r="F2" s="14">
        <v>10</v>
      </c>
      <c r="G2" s="14">
        <v>3</v>
      </c>
    </row>
    <row r="3" spans="1:7">
      <c r="A3" s="14" t="s">
        <v>117</v>
      </c>
      <c r="B3" s="14" t="s">
        <v>118</v>
      </c>
      <c r="C3" s="14" t="s">
        <v>119</v>
      </c>
      <c r="D3" s="14">
        <f>91-22-12345678</f>
        <v>-12345609</v>
      </c>
      <c r="E3" s="14" t="s">
        <v>120</v>
      </c>
      <c r="F3" s="14">
        <v>50</v>
      </c>
      <c r="G3" s="14">
        <v>20</v>
      </c>
    </row>
    <row r="4" spans="1:7">
      <c r="A4" s="14" t="s">
        <v>121</v>
      </c>
      <c r="B4" s="14" t="s">
        <v>122</v>
      </c>
      <c r="C4" s="14" t="s">
        <v>123</v>
      </c>
      <c r="D4" s="14">
        <f>91-11-87654321</f>
        <v>-87654241</v>
      </c>
      <c r="E4" s="14" t="s">
        <v>124</v>
      </c>
      <c r="F4" s="14">
        <v>100</v>
      </c>
      <c r="G4" s="14">
        <v>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1F08-1165-4FE7-8EEB-FC2ECBE25EEA}">
  <dimension ref="A1:D6"/>
  <sheetViews>
    <sheetView workbookViewId="0">
      <selection activeCell="E4" sqref="E4"/>
    </sheetView>
  </sheetViews>
  <sheetFormatPr defaultRowHeight="14.5"/>
  <sheetData>
    <row r="1" spans="1:4">
      <c r="A1" s="15" t="s">
        <v>0</v>
      </c>
      <c r="B1" s="15" t="s">
        <v>125</v>
      </c>
      <c r="C1" s="15" t="s">
        <v>99</v>
      </c>
      <c r="D1" s="15" t="s">
        <v>53</v>
      </c>
    </row>
    <row r="2" spans="1:4">
      <c r="A2" s="15" t="s">
        <v>126</v>
      </c>
      <c r="B2" s="15" t="s">
        <v>127</v>
      </c>
      <c r="C2" s="15" t="s">
        <v>128</v>
      </c>
      <c r="D2" s="16">
        <v>46174</v>
      </c>
    </row>
    <row r="3" spans="1:4">
      <c r="A3" s="15" t="s">
        <v>129</v>
      </c>
      <c r="B3" s="15" t="s">
        <v>130</v>
      </c>
      <c r="C3" s="15" t="s">
        <v>131</v>
      </c>
      <c r="D3" s="16">
        <v>46175</v>
      </c>
    </row>
    <row r="4" spans="1:4">
      <c r="A4" s="15" t="s">
        <v>132</v>
      </c>
      <c r="B4" s="15" t="s">
        <v>133</v>
      </c>
      <c r="C4" s="15" t="s">
        <v>134</v>
      </c>
      <c r="D4" s="16">
        <v>46176</v>
      </c>
    </row>
    <row r="5" spans="1:4">
      <c r="A5" s="15" t="s">
        <v>135</v>
      </c>
      <c r="B5" s="15" t="s">
        <v>136</v>
      </c>
      <c r="C5" s="15" t="s">
        <v>128</v>
      </c>
      <c r="D5" s="16">
        <v>46177</v>
      </c>
    </row>
    <row r="6" spans="1:4">
      <c r="A6" s="15" t="s">
        <v>137</v>
      </c>
      <c r="B6" s="15" t="s">
        <v>138</v>
      </c>
      <c r="C6" s="15" t="s">
        <v>131</v>
      </c>
      <c r="D6" s="16">
        <v>46178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E0B1-2006-4369-86F3-1390F66661C0}">
  <dimension ref="A1:H4"/>
  <sheetViews>
    <sheetView workbookViewId="0">
      <selection activeCell="H6" sqref="H6"/>
    </sheetView>
  </sheetViews>
  <sheetFormatPr defaultRowHeight="14.5"/>
  <sheetData>
    <row r="1" spans="1:8">
      <c r="A1" s="15" t="s">
        <v>0</v>
      </c>
      <c r="B1" s="15" t="s">
        <v>139</v>
      </c>
      <c r="C1" s="15" t="s">
        <v>125</v>
      </c>
      <c r="D1" s="15" t="s">
        <v>99</v>
      </c>
      <c r="E1" s="15" t="s">
        <v>53</v>
      </c>
      <c r="F1" s="15" t="s">
        <v>54</v>
      </c>
      <c r="G1" s="15" t="s">
        <v>55</v>
      </c>
      <c r="H1" s="15" t="s">
        <v>65</v>
      </c>
    </row>
    <row r="2" spans="1:8">
      <c r="A2" s="15" t="s">
        <v>140</v>
      </c>
      <c r="B2" s="15" t="s">
        <v>141</v>
      </c>
      <c r="C2" s="15" t="s">
        <v>142</v>
      </c>
      <c r="D2" s="15" t="s">
        <v>128</v>
      </c>
      <c r="E2" s="16">
        <v>46178</v>
      </c>
      <c r="F2" s="17">
        <v>0.41666666666666669</v>
      </c>
      <c r="G2" s="15" t="s">
        <v>60</v>
      </c>
      <c r="H2" s="15" t="s">
        <v>143</v>
      </c>
    </row>
    <row r="3" spans="1:8">
      <c r="A3" s="15" t="s">
        <v>144</v>
      </c>
      <c r="B3" s="15" t="s">
        <v>145</v>
      </c>
      <c r="C3" s="15" t="s">
        <v>146</v>
      </c>
      <c r="D3" s="15" t="s">
        <v>131</v>
      </c>
      <c r="E3" s="16">
        <v>46179</v>
      </c>
      <c r="F3" s="17">
        <v>0.60416666666666663</v>
      </c>
      <c r="G3" s="15" t="s">
        <v>60</v>
      </c>
      <c r="H3" s="15" t="s">
        <v>147</v>
      </c>
    </row>
    <row r="4" spans="1:8">
      <c r="A4" s="15" t="s">
        <v>148</v>
      </c>
      <c r="B4" s="15" t="s">
        <v>149</v>
      </c>
      <c r="C4" s="15" t="s">
        <v>150</v>
      </c>
      <c r="D4" s="15" t="s">
        <v>134</v>
      </c>
      <c r="E4" s="16">
        <v>46180</v>
      </c>
      <c r="F4" s="17">
        <v>0.38541666666666669</v>
      </c>
      <c r="G4" s="15" t="s">
        <v>60</v>
      </c>
      <c r="H4" s="15" t="s">
        <v>151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0633-E086-4B1C-AF04-C092DCAD31BB}">
  <dimension ref="A1:C6"/>
  <sheetViews>
    <sheetView workbookViewId="0">
      <selection activeCell="C7" sqref="C7"/>
    </sheetView>
  </sheetViews>
  <sheetFormatPr defaultRowHeight="14.5"/>
  <sheetData>
    <row r="1" spans="1:3">
      <c r="A1" s="15" t="s">
        <v>0</v>
      </c>
      <c r="B1" s="15" t="s">
        <v>152</v>
      </c>
      <c r="C1" s="15" t="s">
        <v>153</v>
      </c>
    </row>
    <row r="2" spans="1:3">
      <c r="A2" s="15" t="s">
        <v>154</v>
      </c>
      <c r="B2" s="15" t="s">
        <v>155</v>
      </c>
      <c r="C2" s="15" t="s">
        <v>156</v>
      </c>
    </row>
    <row r="3" spans="1:3">
      <c r="A3" s="15" t="s">
        <v>157</v>
      </c>
      <c r="B3" s="15" t="s">
        <v>158</v>
      </c>
      <c r="C3" s="15" t="s">
        <v>156</v>
      </c>
    </row>
    <row r="4" spans="1:3">
      <c r="A4" s="15" t="s">
        <v>159</v>
      </c>
      <c r="B4" s="15" t="s">
        <v>160</v>
      </c>
      <c r="C4" s="15" t="s">
        <v>156</v>
      </c>
    </row>
    <row r="5" spans="1:3">
      <c r="A5" s="15" t="s">
        <v>161</v>
      </c>
      <c r="B5" s="15" t="s">
        <v>67</v>
      </c>
      <c r="C5" s="15" t="s">
        <v>156</v>
      </c>
    </row>
    <row r="6" spans="1:3">
      <c r="A6" s="15" t="s">
        <v>162</v>
      </c>
      <c r="B6" s="15" t="s">
        <v>163</v>
      </c>
      <c r="C6" s="15" t="s">
        <v>164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96E2-92F2-4CDC-AE00-032B872F1859}">
  <dimension ref="A1:B5"/>
  <sheetViews>
    <sheetView workbookViewId="0">
      <selection activeCell="B6" sqref="B6"/>
    </sheetView>
  </sheetViews>
  <sheetFormatPr defaultRowHeight="14.5"/>
  <sheetData>
    <row r="1" spans="1:2">
      <c r="A1" s="15" t="s">
        <v>0</v>
      </c>
      <c r="B1" s="15" t="s">
        <v>56</v>
      </c>
    </row>
    <row r="2" spans="1:2">
      <c r="A2" s="15" t="s">
        <v>165</v>
      </c>
      <c r="B2" s="15" t="s">
        <v>166</v>
      </c>
    </row>
    <row r="3" spans="1:2">
      <c r="A3" s="15" t="s">
        <v>167</v>
      </c>
      <c r="B3" s="15" t="s">
        <v>61</v>
      </c>
    </row>
    <row r="4" spans="1:2">
      <c r="A4" s="15" t="s">
        <v>168</v>
      </c>
      <c r="B4" s="15" t="s">
        <v>169</v>
      </c>
    </row>
    <row r="5" spans="1:2">
      <c r="A5" s="15" t="s">
        <v>170</v>
      </c>
      <c r="B5" s="15" t="s">
        <v>171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B497-BCD7-4C16-8370-F86E945F2378}">
  <dimension ref="A1:G4"/>
  <sheetViews>
    <sheetView workbookViewId="0">
      <selection activeCell="G7" sqref="G7"/>
    </sheetView>
  </sheetViews>
  <sheetFormatPr defaultRowHeight="14.5"/>
  <sheetData>
    <row r="1" spans="1:7">
      <c r="A1" s="15" t="s">
        <v>0</v>
      </c>
      <c r="B1" s="15" t="s">
        <v>84</v>
      </c>
      <c r="C1" s="15" t="s">
        <v>85</v>
      </c>
      <c r="D1" s="15" t="s">
        <v>86</v>
      </c>
      <c r="E1" s="15" t="s">
        <v>87</v>
      </c>
      <c r="F1" s="15" t="s">
        <v>99</v>
      </c>
      <c r="G1" s="15" t="s">
        <v>65</v>
      </c>
    </row>
    <row r="2" spans="1:7">
      <c r="A2" s="15" t="s">
        <v>172</v>
      </c>
      <c r="B2" s="15" t="s">
        <v>173</v>
      </c>
      <c r="C2" s="15" t="s">
        <v>174</v>
      </c>
      <c r="D2" s="15">
        <v>100</v>
      </c>
      <c r="E2" s="15">
        <v>20</v>
      </c>
      <c r="F2" s="15" t="s">
        <v>128</v>
      </c>
      <c r="G2" s="15" t="s">
        <v>175</v>
      </c>
    </row>
    <row r="3" spans="1:7">
      <c r="A3" s="15" t="s">
        <v>176</v>
      </c>
      <c r="B3" s="15" t="s">
        <v>177</v>
      </c>
      <c r="C3" s="15" t="s">
        <v>178</v>
      </c>
      <c r="D3" s="15">
        <v>50</v>
      </c>
      <c r="E3" s="15">
        <v>15</v>
      </c>
      <c r="F3" s="15" t="s">
        <v>131</v>
      </c>
      <c r="G3" s="15" t="s">
        <v>179</v>
      </c>
    </row>
    <row r="4" spans="1:7">
      <c r="A4" s="15" t="s">
        <v>180</v>
      </c>
      <c r="B4" s="15" t="s">
        <v>181</v>
      </c>
      <c r="C4" s="15" t="s">
        <v>182</v>
      </c>
      <c r="D4" s="15">
        <v>200</v>
      </c>
      <c r="E4" s="15">
        <v>30</v>
      </c>
      <c r="F4" s="15" t="s">
        <v>134</v>
      </c>
      <c r="G4" s="15" t="s">
        <v>183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043B-66A1-4147-9E67-EFA6F115DAAC}">
  <dimension ref="A1:G4"/>
  <sheetViews>
    <sheetView workbookViewId="0">
      <selection activeCell="D7" sqref="D7"/>
    </sheetView>
  </sheetViews>
  <sheetFormatPr defaultRowHeight="14.5"/>
  <cols>
    <col min="4" max="4" width="9.453125" bestFit="1" customWidth="1"/>
  </cols>
  <sheetData>
    <row r="1" spans="1:7">
      <c r="A1" s="15" t="s">
        <v>0</v>
      </c>
      <c r="B1" s="15" t="s">
        <v>125</v>
      </c>
      <c r="C1" s="15" t="s">
        <v>139</v>
      </c>
      <c r="D1" s="15" t="s">
        <v>53</v>
      </c>
      <c r="E1" s="15" t="s">
        <v>54</v>
      </c>
      <c r="F1" s="15" t="s">
        <v>184</v>
      </c>
      <c r="G1" s="15" t="s">
        <v>65</v>
      </c>
    </row>
    <row r="2" spans="1:7">
      <c r="A2" s="15" t="s">
        <v>185</v>
      </c>
      <c r="B2" s="15" t="s">
        <v>127</v>
      </c>
      <c r="C2" s="15" t="s">
        <v>186</v>
      </c>
      <c r="D2" s="16">
        <v>46183</v>
      </c>
      <c r="E2" s="17">
        <v>0.41666666666666669</v>
      </c>
      <c r="F2" s="15" t="s">
        <v>187</v>
      </c>
      <c r="G2" s="15" t="s">
        <v>188</v>
      </c>
    </row>
    <row r="3" spans="1:7">
      <c r="A3" s="15" t="s">
        <v>189</v>
      </c>
      <c r="B3" s="15" t="s">
        <v>130</v>
      </c>
      <c r="C3" s="15" t="s">
        <v>190</v>
      </c>
      <c r="D3" s="16">
        <v>46188</v>
      </c>
      <c r="E3" s="17">
        <v>0.58333333333333337</v>
      </c>
      <c r="F3" s="15" t="s">
        <v>187</v>
      </c>
      <c r="G3" s="15" t="s">
        <v>191</v>
      </c>
    </row>
    <row r="4" spans="1:7">
      <c r="A4" s="15" t="s">
        <v>192</v>
      </c>
      <c r="B4" s="15" t="s">
        <v>133</v>
      </c>
      <c r="C4" s="15" t="s">
        <v>193</v>
      </c>
      <c r="D4" s="16">
        <v>46204</v>
      </c>
      <c r="E4" s="17">
        <v>0.47916666666666669</v>
      </c>
      <c r="F4" s="15" t="s">
        <v>187</v>
      </c>
      <c r="G4" s="15" t="s">
        <v>143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3998-EE15-42D1-A8B9-A9EBC4B0DB5C}">
  <dimension ref="A1:D6"/>
  <sheetViews>
    <sheetView workbookViewId="0">
      <selection activeCell="F3" sqref="F3"/>
    </sheetView>
  </sheetViews>
  <sheetFormatPr defaultRowHeight="14.5"/>
  <sheetData>
    <row r="1" spans="1:4" ht="29">
      <c r="A1" s="18" t="s">
        <v>0</v>
      </c>
      <c r="B1" s="18" t="s">
        <v>99</v>
      </c>
      <c r="C1" s="18" t="s">
        <v>194</v>
      </c>
      <c r="D1" s="18" t="s">
        <v>195</v>
      </c>
    </row>
    <row r="2" spans="1:4" ht="43.5">
      <c r="A2" s="18" t="s">
        <v>196</v>
      </c>
      <c r="B2" s="18" t="s">
        <v>197</v>
      </c>
      <c r="C2" s="18" t="s">
        <v>198</v>
      </c>
      <c r="D2" s="18" t="s">
        <v>199</v>
      </c>
    </row>
    <row r="3" spans="1:4" ht="43.5">
      <c r="A3" s="18" t="s">
        <v>200</v>
      </c>
      <c r="B3" s="18" t="s">
        <v>128</v>
      </c>
      <c r="C3" s="18" t="s">
        <v>103</v>
      </c>
      <c r="D3" s="18" t="s">
        <v>201</v>
      </c>
    </row>
    <row r="4" spans="1:4" ht="43.5">
      <c r="A4" s="18" t="s">
        <v>202</v>
      </c>
      <c r="B4" s="18" t="s">
        <v>131</v>
      </c>
      <c r="C4" s="18" t="s">
        <v>203</v>
      </c>
      <c r="D4" s="18" t="s">
        <v>204</v>
      </c>
    </row>
    <row r="5" spans="1:4" ht="43.5">
      <c r="A5" s="18" t="s">
        <v>205</v>
      </c>
      <c r="B5" s="18" t="s">
        <v>134</v>
      </c>
      <c r="C5" s="18" t="s">
        <v>206</v>
      </c>
      <c r="D5" s="18" t="s">
        <v>207</v>
      </c>
    </row>
    <row r="6" spans="1:4" ht="43.5">
      <c r="A6" s="18" t="s">
        <v>208</v>
      </c>
      <c r="B6" s="18" t="s">
        <v>197</v>
      </c>
      <c r="C6" s="18" t="s">
        <v>209</v>
      </c>
      <c r="D6" s="18" t="s">
        <v>201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9E2F-BB4B-4356-8DE7-A9AFDC262B27}">
  <dimension ref="A1:F4"/>
  <sheetViews>
    <sheetView workbookViewId="0">
      <selection activeCell="C7" sqref="C7"/>
    </sheetView>
  </sheetViews>
  <sheetFormatPr defaultRowHeight="14.5"/>
  <cols>
    <col min="3" max="3" width="9.453125" bestFit="1" customWidth="1"/>
  </cols>
  <sheetData>
    <row r="1" spans="1:6">
      <c r="A1" s="19" t="s">
        <v>0</v>
      </c>
      <c r="B1" s="19" t="s">
        <v>125</v>
      </c>
      <c r="C1" s="19" t="s">
        <v>53</v>
      </c>
      <c r="D1" s="19" t="s">
        <v>54</v>
      </c>
      <c r="E1" s="19" t="s">
        <v>55</v>
      </c>
      <c r="F1" s="19" t="s">
        <v>81</v>
      </c>
    </row>
    <row r="2" spans="1:6">
      <c r="A2" s="19" t="s">
        <v>210</v>
      </c>
      <c r="B2" s="19" t="s">
        <v>142</v>
      </c>
      <c r="C2" s="20">
        <v>46183</v>
      </c>
      <c r="D2" s="21">
        <v>0.41666666666666669</v>
      </c>
      <c r="E2" s="19" t="s">
        <v>60</v>
      </c>
      <c r="F2" s="19" t="s">
        <v>211</v>
      </c>
    </row>
    <row r="3" spans="1:6">
      <c r="A3" s="19" t="s">
        <v>212</v>
      </c>
      <c r="B3" s="19" t="s">
        <v>146</v>
      </c>
      <c r="C3" s="20">
        <v>46188</v>
      </c>
      <c r="D3" s="21">
        <v>0.45833333333333331</v>
      </c>
      <c r="E3" s="19" t="s">
        <v>213</v>
      </c>
      <c r="F3" s="19" t="s">
        <v>214</v>
      </c>
    </row>
    <row r="4" spans="1:6">
      <c r="A4" s="19" t="s">
        <v>215</v>
      </c>
      <c r="B4" s="19" t="s">
        <v>150</v>
      </c>
      <c r="C4" s="20">
        <v>46204</v>
      </c>
      <c r="D4" s="21">
        <v>0.58333333333333337</v>
      </c>
      <c r="E4" s="19" t="s">
        <v>60</v>
      </c>
      <c r="F4" s="19" t="s">
        <v>216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91C6-E7EE-453C-AC4C-57830FF1CF37}">
  <dimension ref="A1:C7"/>
  <sheetViews>
    <sheetView workbookViewId="0">
      <selection activeCell="D7" sqref="D7"/>
    </sheetView>
  </sheetViews>
  <sheetFormatPr defaultRowHeight="14.5"/>
  <sheetData>
    <row r="1" spans="1:3">
      <c r="A1" s="19" t="s">
        <v>0</v>
      </c>
      <c r="B1" s="19" t="s">
        <v>91</v>
      </c>
      <c r="C1" s="19" t="s">
        <v>217</v>
      </c>
    </row>
    <row r="2" spans="1:3">
      <c r="A2" s="19" t="s">
        <v>218</v>
      </c>
      <c r="B2" s="19" t="s">
        <v>219</v>
      </c>
      <c r="C2" s="19" t="s">
        <v>220</v>
      </c>
    </row>
    <row r="3" spans="1:3">
      <c r="A3" s="19" t="s">
        <v>221</v>
      </c>
      <c r="B3" s="19" t="s">
        <v>222</v>
      </c>
      <c r="C3" s="19" t="s">
        <v>220</v>
      </c>
    </row>
    <row r="4" spans="1:3">
      <c r="A4" s="19" t="s">
        <v>223</v>
      </c>
      <c r="B4" s="19" t="s">
        <v>224</v>
      </c>
      <c r="C4" s="19" t="s">
        <v>220</v>
      </c>
    </row>
    <row r="5" spans="1:3">
      <c r="A5" s="19" t="s">
        <v>225</v>
      </c>
      <c r="B5" s="19" t="s">
        <v>226</v>
      </c>
      <c r="C5" s="19" t="s">
        <v>220</v>
      </c>
    </row>
    <row r="6" spans="1:3">
      <c r="A6" s="19" t="s">
        <v>227</v>
      </c>
      <c r="B6" s="19" t="s">
        <v>228</v>
      </c>
      <c r="C6" s="19" t="s">
        <v>55</v>
      </c>
    </row>
    <row r="7" spans="1:3">
      <c r="A7" s="19" t="s">
        <v>229</v>
      </c>
      <c r="B7" s="19" t="s">
        <v>230</v>
      </c>
      <c r="C7" s="19" t="s">
        <v>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DDCA-DA73-4919-AA7D-447631DA4DA8}">
  <dimension ref="A1:D9"/>
  <sheetViews>
    <sheetView tabSelected="1" workbookViewId="0">
      <selection activeCell="E12" sqref="E12"/>
    </sheetView>
  </sheetViews>
  <sheetFormatPr defaultRowHeight="14.5"/>
  <sheetData>
    <row r="1" spans="1:4">
      <c r="A1" s="19" t="s">
        <v>0</v>
      </c>
      <c r="B1" s="19" t="s">
        <v>217</v>
      </c>
      <c r="C1" s="19" t="s">
        <v>231</v>
      </c>
      <c r="D1" s="19" t="s">
        <v>232</v>
      </c>
    </row>
    <row r="2" spans="1:4">
      <c r="A2" s="19" t="s">
        <v>233</v>
      </c>
      <c r="B2" s="19" t="s">
        <v>234</v>
      </c>
      <c r="C2" s="19" t="s">
        <v>220</v>
      </c>
      <c r="D2" s="19" t="s">
        <v>235</v>
      </c>
    </row>
    <row r="3" spans="1:4">
      <c r="A3" s="19" t="s">
        <v>236</v>
      </c>
      <c r="B3" s="19" t="s">
        <v>234</v>
      </c>
      <c r="C3" s="19" t="s">
        <v>220</v>
      </c>
      <c r="D3" s="19" t="s">
        <v>237</v>
      </c>
    </row>
    <row r="4" spans="1:4">
      <c r="A4" s="19" t="s">
        <v>238</v>
      </c>
      <c r="B4" s="19" t="s">
        <v>234</v>
      </c>
      <c r="C4" s="19" t="s">
        <v>55</v>
      </c>
      <c r="D4" s="19" t="s">
        <v>239</v>
      </c>
    </row>
    <row r="5" spans="1:4">
      <c r="A5" s="19" t="s">
        <v>240</v>
      </c>
      <c r="B5" s="19" t="s">
        <v>241</v>
      </c>
      <c r="C5" s="19" t="s">
        <v>55</v>
      </c>
      <c r="D5" s="19" t="s">
        <v>242</v>
      </c>
    </row>
    <row r="6" spans="1:4">
      <c r="A6" s="19" t="s">
        <v>243</v>
      </c>
      <c r="B6" s="19"/>
      <c r="C6" s="19" t="s">
        <v>244</v>
      </c>
      <c r="D6" s="19" t="s">
        <v>241</v>
      </c>
    </row>
    <row r="7" spans="1:4">
      <c r="A7" s="19" t="s">
        <v>245</v>
      </c>
      <c r="B7" s="19"/>
      <c r="C7" s="19" t="s">
        <v>244</v>
      </c>
      <c r="D7" s="19" t="s">
        <v>246</v>
      </c>
    </row>
    <row r="8" spans="1:4">
      <c r="A8" s="19" t="s">
        <v>247</v>
      </c>
      <c r="B8" s="19"/>
      <c r="C8" s="19" t="s">
        <v>248</v>
      </c>
      <c r="D8" s="19" t="s">
        <v>249</v>
      </c>
    </row>
    <row r="9" spans="1:4">
      <c r="A9" s="19" t="s">
        <v>250</v>
      </c>
      <c r="B9" s="19"/>
      <c r="C9" s="19" t="s">
        <v>248</v>
      </c>
      <c r="D9" s="1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Logins</vt:lpstr>
      <vt:lpstr>PatientRegister</vt:lpstr>
      <vt:lpstr>Sheet11</vt:lpstr>
      <vt:lpstr>Sheet12</vt:lpstr>
      <vt:lpstr>AddPatient</vt:lpstr>
      <vt:lpstr>NewAppointment</vt:lpstr>
      <vt:lpstr>RequestLabTest</vt:lpstr>
      <vt:lpstr>NewRecord</vt:lpstr>
      <vt:lpstr>ScheduleSession</vt:lpstr>
      <vt:lpstr>AddItem</vt:lpstr>
      <vt:lpstr>AiAssistant</vt:lpstr>
      <vt:lpstr>DoctorRegister</vt:lpstr>
      <vt:lpstr>DoctorLogin</vt:lpstr>
      <vt:lpstr>Hospitals</vt:lpstr>
      <vt:lpstr>Appointments</vt:lpstr>
      <vt:lpstr>NewAppointments</vt:lpstr>
      <vt:lpstr>DiagnosticsSearch</vt:lpstr>
      <vt:lpstr>DiagnosticsStatus</vt:lpstr>
      <vt:lpstr>SupplyOrders</vt:lpstr>
      <vt:lpstr>TelemedicineSessions</vt:lpstr>
      <vt:lpstr>AnalyticsFilters</vt:lpstr>
      <vt:lpstr>PatientBookings</vt:lpstr>
      <vt:lpstr>LabReportAIQuestions</vt:lpstr>
      <vt:lpstr>AiAssistantInteractions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Samridhan (Contractor)</dc:creator>
  <cp:lastModifiedBy>S, Samridhan (Contractor)</cp:lastModifiedBy>
  <dcterms:created xsi:type="dcterms:W3CDTF">2026-05-25T10:23:37Z</dcterms:created>
  <dcterms:modified xsi:type="dcterms:W3CDTF">2026-05-25T16:27:42Z</dcterms:modified>
</cp:coreProperties>
</file>